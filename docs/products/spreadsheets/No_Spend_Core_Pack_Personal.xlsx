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bscriptions" sheetId="3" state="visible" r:id="rId3"/>
    <sheet xmlns:r="http://schemas.openxmlformats.org/officeDocument/2006/relationships" name="One-Time Purchase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Monthly" sheetId="6" state="visible" r:id="rId6"/>
    <sheet xmlns:r="http://schemas.openxmlformats.org/officeDocument/2006/relationships" name="Weekly" sheetId="7" state="visible" r:id="rId7"/>
    <sheet xmlns:r="http://schemas.openxmlformats.org/officeDocument/2006/relationships" name="Before-After" sheetId="8" state="visible" r:id="rId8"/>
    <sheet xmlns:r="http://schemas.openxmlformats.org/officeDocument/2006/relationships" name="Freed Money Pl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yyyy-mm-dd h:mm:ss"/>
    <numFmt numFmtId="166" formatCode="MMM D, YYYY"/>
    <numFmt numFmtId="167" formatCode="0.0%"/>
    <numFmt numFmtId="168" formatCode="&quot;$&quot;#,##0"/>
    <numFmt numFmtId="169" formatCode="MMM D"/>
    <numFmt numFmtId="170" formatCode="+0%;-0%"/>
  </numFmts>
  <fonts count="18">
    <font>
      <name val="Calibri"/>
      <family val="2"/>
      <color theme="1"/>
      <sz val="11"/>
      <scheme val="minor"/>
    </font>
    <font>
      <b val="1"/>
      <color rgb="003B3B58"/>
      <sz val="22"/>
    </font>
    <font>
      <i val="1"/>
      <color rgb="00888888"/>
      <sz val="11"/>
    </font>
    <font>
      <b val="1"/>
      <color rgb="00B375A0"/>
      <sz val="13"/>
    </font>
    <font>
      <color rgb="00666666"/>
      <sz val="10"/>
    </font>
    <font>
      <b val="1"/>
      <color rgb="003B3B58"/>
      <sz val="14"/>
    </font>
    <font>
      <color rgb="003B3B58"/>
      <sz val="10"/>
    </font>
    <font>
      <b val="1"/>
      <color rgb="003B3B58"/>
      <sz val="18"/>
    </font>
    <font>
      <color rgb="00444444"/>
      <sz val="11"/>
    </font>
    <font>
      <b val="1"/>
      <color rgb="003B3B58"/>
      <sz val="10"/>
    </font>
    <font>
      <b val="1"/>
      <color rgb="00CC9933"/>
      <sz val="10"/>
    </font>
    <font>
      <b val="1"/>
      <color rgb="009CAF88"/>
      <sz val="10"/>
    </font>
    <font>
      <b val="1"/>
      <color rgb="00CC5555"/>
      <sz val="10"/>
    </font>
    <font>
      <b val="1"/>
      <color rgb="00B375A0"/>
      <sz val="10"/>
    </font>
    <font>
      <b val="1"/>
      <color rgb="003B3B58"/>
      <sz val="11"/>
    </font>
    <font>
      <i val="1"/>
      <color rgb="00B375A0"/>
      <sz val="10"/>
    </font>
    <font>
      <b val="1"/>
      <color rgb="009CAF88"/>
      <sz val="12"/>
    </font>
    <font>
      <b val="1"/>
      <color rgb="009CAF88"/>
      <sz val="14"/>
    </font>
  </fonts>
  <fills count="4">
    <fill>
      <patternFill/>
    </fill>
    <fill>
      <patternFill patternType="gray125"/>
    </fill>
    <fill>
      <patternFill patternType="solid">
        <fgColor rgb="00F5F3F7"/>
        <bgColor rgb="00F5F3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13" fillId="3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9" fillId="0" borderId="0" pivotButton="0" quotePrefix="0" xfId="0"/>
    <xf numFmtId="164" fontId="14" fillId="0" borderId="0" pivotButton="0" quotePrefix="0" xfId="0"/>
    <xf numFmtId="166" fontId="0" fillId="2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0" fontId="15" fillId="3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164" fontId="9" fillId="0" borderId="0" pivotButton="0" quotePrefix="0" xfId="0"/>
    <xf numFmtId="168" fontId="0" fillId="2" borderId="1" applyAlignment="1" pivotButton="0" quotePrefix="0" xfId="0">
      <alignment vertical="center"/>
    </xf>
    <xf numFmtId="167" fontId="11" fillId="2" borderId="1" applyAlignment="1" pivotButton="0" quotePrefix="0" xfId="0">
      <alignment vertical="center"/>
    </xf>
    <xf numFmtId="168" fontId="0" fillId="3" borderId="1" applyAlignment="1" pivotButton="0" quotePrefix="0" xfId="0">
      <alignment vertical="center"/>
    </xf>
    <xf numFmtId="167" fontId="11" fillId="3" borderId="1" applyAlignment="1" pivotButton="0" quotePrefix="0" xfId="0">
      <alignment vertical="center"/>
    </xf>
    <xf numFmtId="169" fontId="0" fillId="2" borderId="1" applyAlignment="1" pivotButton="0" quotePrefix="0" xfId="0">
      <alignment vertical="center"/>
    </xf>
    <xf numFmtId="169" fontId="0" fillId="3" borderId="1" applyAlignment="1" pivotButton="0" quotePrefix="0" xfId="0">
      <alignment vertical="center"/>
    </xf>
    <xf numFmtId="0" fontId="16" fillId="0" borderId="0" pivotButton="0" quotePrefix="0" xfId="0"/>
    <xf numFmtId="170" fontId="11" fillId="2" borderId="1" applyAlignment="1" pivotButton="0" quotePrefix="0" xfId="0">
      <alignment vertical="center"/>
    </xf>
    <xf numFmtId="170" fontId="11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164" fontId="11" fillId="2" borderId="1" applyAlignment="1" pivotButton="0" quotePrefix="0" xfId="0">
      <alignment vertical="center"/>
    </xf>
    <xf numFmtId="164" fontId="11" fillId="3" borderId="1" applyAlignment="1" pivotButton="0" quotePrefix="0" xfId="0">
      <alignment vertical="center"/>
    </xf>
    <xf numFmtId="164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" customWidth="1" min="3" max="3"/>
    <col width="16" customWidth="1" min="4" max="4"/>
  </cols>
  <sheetData>
    <row r="2">
      <c r="B2" s="1" t="inlineStr">
        <is>
          <t>30-Day No-Spend Challenge</t>
        </is>
      </c>
    </row>
    <row r="3">
      <c r="B3" s="2" t="inlineStr">
        <is>
          <t>Personal spending awareness and pattern recognition</t>
        </is>
      </c>
    </row>
    <row r="6">
      <c r="B6" s="3" t="inlineStr">
        <is>
          <t>Key Metrics</t>
        </is>
      </c>
    </row>
    <row r="8">
      <c r="B8" s="4" t="inlineStr">
        <is>
          <t>Active Monthly Subscriptions</t>
        </is>
      </c>
      <c r="D8" s="5">
        <f>'Subscriptions'!C14</f>
        <v/>
      </c>
    </row>
    <row r="9">
      <c r="B9" s="4" t="inlineStr">
        <is>
          <t>Freed Up This Month</t>
        </is>
      </c>
      <c r="D9" s="5">
        <f>'Freed Money Plan'!B8</f>
        <v/>
      </c>
    </row>
    <row r="10">
      <c r="B10" s="4" t="inlineStr">
        <is>
          <t>Highest Category</t>
        </is>
      </c>
      <c r="D10" s="5">
        <f>MAX('Categories'!D2:D10)</f>
        <v/>
      </c>
    </row>
    <row r="13">
      <c r="B13" s="3" t="inlineStr">
        <is>
          <t>Tabs</t>
        </is>
      </c>
    </row>
    <row r="15">
      <c r="B15" s="6" t="inlineStr">
        <is>
          <t>→  Subscriptions</t>
        </is>
      </c>
    </row>
    <row r="16">
      <c r="B16" s="6" t="inlineStr">
        <is>
          <t>→  One-Time Purchases</t>
        </is>
      </c>
    </row>
    <row r="17">
      <c r="B17" s="6" t="inlineStr">
        <is>
          <t>→  Categories</t>
        </is>
      </c>
    </row>
    <row r="18">
      <c r="B18" s="6" t="inlineStr">
        <is>
          <t>→  Monthly</t>
        </is>
      </c>
    </row>
    <row r="19">
      <c r="B19" s="6" t="inlineStr">
        <is>
          <t>→  Weekly</t>
        </is>
      </c>
    </row>
    <row r="20">
      <c r="B20" s="6" t="inlineStr">
        <is>
          <t>→  Before/After</t>
        </is>
      </c>
    </row>
    <row r="21">
      <c r="B21" s="6" t="inlineStr">
        <is>
          <t>→  Freed Money Plan</t>
        </is>
      </c>
    </row>
    <row r="22">
      <c r="B22" s="6" t="inlineStr">
        <is>
          <t>→  README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7" t="inlineStr">
        <is>
          <t>How to Use This Workbook</t>
        </is>
      </c>
    </row>
    <row r="4">
      <c r="B4" s="8" t="inlineStr"/>
    </row>
    <row r="5">
      <c r="B5" s="8" t="inlineStr">
        <is>
          <t>1.  Make a copy first (File → Save As)</t>
        </is>
      </c>
    </row>
    <row r="6">
      <c r="B6" s="8" t="inlineStr">
        <is>
          <t>2.  Start with Subscriptions tab — enter your streaming, apps, memberships</t>
        </is>
      </c>
    </row>
    <row r="7">
      <c r="B7" s="8" t="inlineStr">
        <is>
          <t>3.  Log one-time purchases in One-Time Purchases tab</t>
        </is>
      </c>
    </row>
    <row r="8">
      <c r="B8" s="8" t="inlineStr">
        <is>
          <t>4.  Categories and Dashboard update automatically</t>
        </is>
      </c>
    </row>
    <row r="9">
      <c r="B9" s="8" t="inlineStr">
        <is>
          <t>5.  Use Freed Money Plan to allocate savings from cancelled subscriptions</t>
        </is>
      </c>
    </row>
    <row r="10">
      <c r="B10" s="8" t="inlineStr"/>
    </row>
    <row r="11">
      <c r="B11" s="8" t="inlineStr">
        <is>
          <t>The Chasing Patterns help you see WHY you spend:</t>
        </is>
      </c>
    </row>
    <row r="12">
      <c r="B12" s="8" t="inlineStr">
        <is>
          <t xml:space="preserve">   Rainbows — chasing the solution that will fix everything</t>
        </is>
      </c>
    </row>
    <row r="13">
      <c r="B13" s="8" t="inlineStr">
        <is>
          <t xml:space="preserve">   Ambrosia — spending to change how you feel</t>
        </is>
      </c>
    </row>
    <row r="14">
      <c r="B14" s="8" t="inlineStr">
        <is>
          <t xml:space="preserve">   Sunshine — little mood boosts that add up</t>
        </is>
      </c>
    </row>
    <row r="15">
      <c r="B15" s="8" t="inlineStr">
        <is>
          <t xml:space="preserve">   Stardust — buying to feel more legit/polished</t>
        </is>
      </c>
    </row>
    <row r="16">
      <c r="B16" s="8" t="inlineStr">
        <is>
          <t xml:space="preserve">   Unicorns — comparing yourself to others</t>
        </is>
      </c>
    </row>
    <row r="17">
      <c r="B17" s="8" t="inlineStr">
        <is>
          <t xml:space="preserve">   Moonbeams — fantasy purchases for someday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26" customWidth="1" min="8" max="8"/>
  </cols>
  <sheetData>
    <row r="1" ht="24" customHeight="1">
      <c r="A1" s="9" t="inlineStr">
        <is>
          <t>Service</t>
        </is>
      </c>
      <c r="B1" s="9" t="inlineStr">
        <is>
          <t>Category</t>
        </is>
      </c>
      <c r="C1" s="9" t="inlineStr">
        <is>
          <t>Monthly</t>
        </is>
      </c>
      <c r="D1" s="9" t="inlineStr">
        <is>
          <t>Annual</t>
        </is>
      </c>
      <c r="E1" s="9" t="inlineStr">
        <is>
          <t>Status</t>
        </is>
      </c>
      <c r="F1" s="9" t="inlineStr">
        <is>
          <t>Decision</t>
        </is>
      </c>
      <c r="G1" s="9" t="inlineStr">
        <is>
          <t>Last Used</t>
        </is>
      </c>
      <c r="H1" s="9" t="inlineStr">
        <is>
          <t>Notes</t>
        </is>
      </c>
    </row>
    <row r="2">
      <c r="A2" s="10" t="inlineStr">
        <is>
          <t>Netflix</t>
        </is>
      </c>
      <c r="B2" s="10" t="inlineStr">
        <is>
          <t>Entertainment</t>
        </is>
      </c>
      <c r="C2" s="11" t="n">
        <v>15.49</v>
      </c>
      <c r="D2" s="11">
        <f>C2*12</f>
        <v/>
      </c>
      <c r="E2" s="10" t="inlineStr">
        <is>
          <t>Active</t>
        </is>
      </c>
      <c r="F2" s="12" t="inlineStr">
        <is>
          <t>Evaluate</t>
        </is>
      </c>
      <c r="G2" s="10" t="inlineStr">
        <is>
          <t>Weekly</t>
        </is>
      </c>
      <c r="H2" s="10" t="inlineStr">
        <is>
          <t>Do we need Premium?</t>
        </is>
      </c>
    </row>
    <row r="3">
      <c r="A3" s="13" t="inlineStr">
        <is>
          <t>Spotify Premium</t>
        </is>
      </c>
      <c r="B3" s="13" t="inlineStr">
        <is>
          <t>Entertainment</t>
        </is>
      </c>
      <c r="C3" s="14" t="n">
        <v>10.99</v>
      </c>
      <c r="D3" s="14">
        <f>C3*12</f>
        <v/>
      </c>
      <c r="E3" s="13" t="inlineStr">
        <is>
          <t>Active</t>
        </is>
      </c>
      <c r="F3" s="15" t="inlineStr">
        <is>
          <t>Keep</t>
        </is>
      </c>
      <c r="G3" s="13" t="inlineStr">
        <is>
          <t>Daily</t>
        </is>
      </c>
      <c r="H3" s="13" t="inlineStr">
        <is>
          <t>Use constantly</t>
        </is>
      </c>
    </row>
    <row r="4">
      <c r="A4" s="10" t="inlineStr">
        <is>
          <t>Amazon Prime</t>
        </is>
      </c>
      <c r="B4" s="10" t="inlineStr">
        <is>
          <t>Shopping</t>
        </is>
      </c>
      <c r="C4" s="11" t="n">
        <v>14.99</v>
      </c>
      <c r="D4" s="11">
        <f>C4*12</f>
        <v/>
      </c>
      <c r="E4" s="10" t="inlineStr">
        <is>
          <t>Active</t>
        </is>
      </c>
      <c r="F4" s="16" t="inlineStr">
        <is>
          <t>Keep</t>
        </is>
      </c>
      <c r="G4" s="10" t="inlineStr">
        <is>
          <t>Weekly</t>
        </is>
      </c>
      <c r="H4" s="10" t="inlineStr">
        <is>
          <t>Shipping + video</t>
        </is>
      </c>
    </row>
    <row r="5">
      <c r="A5" s="13" t="inlineStr">
        <is>
          <t>Hulu</t>
        </is>
      </c>
      <c r="B5" s="13" t="inlineStr">
        <is>
          <t>Entertainment</t>
        </is>
      </c>
      <c r="C5" s="14" t="n">
        <v>17.99</v>
      </c>
      <c r="D5" s="14">
        <f>C5*12</f>
        <v/>
      </c>
      <c r="E5" s="13" t="inlineStr">
        <is>
          <t>Active</t>
        </is>
      </c>
      <c r="F5" s="17" t="inlineStr">
        <is>
          <t>Cancel</t>
        </is>
      </c>
      <c r="G5" s="13" t="inlineStr">
        <is>
          <t>Rarely</t>
        </is>
      </c>
      <c r="H5" s="13" t="inlineStr">
        <is>
          <t>Overlap with Netflix</t>
        </is>
      </c>
    </row>
    <row r="6">
      <c r="A6" s="10" t="inlineStr">
        <is>
          <t>Planet Fitness</t>
        </is>
      </c>
      <c r="B6" s="10" t="inlineStr">
        <is>
          <t>Health</t>
        </is>
      </c>
      <c r="C6" s="11" t="n">
        <v>24.99</v>
      </c>
      <c r="D6" s="11">
        <f>C6*12</f>
        <v/>
      </c>
      <c r="E6" s="10" t="inlineStr">
        <is>
          <t>Active</t>
        </is>
      </c>
      <c r="F6" s="12" t="inlineStr">
        <is>
          <t>Evaluate</t>
        </is>
      </c>
      <c r="G6" s="10" t="inlineStr">
        <is>
          <t>Monthly</t>
        </is>
      </c>
      <c r="H6" s="10" t="inlineStr">
        <is>
          <t>Going 2x/month max</t>
        </is>
      </c>
    </row>
    <row r="7">
      <c r="A7" s="13" t="inlineStr">
        <is>
          <t>HelloFresh</t>
        </is>
      </c>
      <c r="B7" s="13" t="inlineStr">
        <is>
          <t>Food</t>
        </is>
      </c>
      <c r="C7" s="14" t="n">
        <v>69.98999999999999</v>
      </c>
      <c r="D7" s="14">
        <f>C7*12</f>
        <v/>
      </c>
      <c r="E7" s="13" t="inlineStr">
        <is>
          <t>Active</t>
        </is>
      </c>
      <c r="F7" s="18" t="inlineStr">
        <is>
          <t>Pause</t>
        </is>
      </c>
      <c r="G7" s="13" t="inlineStr">
        <is>
          <t>Skipping often</t>
        </is>
      </c>
      <c r="H7" s="13" t="inlineStr">
        <is>
          <t>Boxes piling up</t>
        </is>
      </c>
    </row>
    <row r="8">
      <c r="A8" s="10" t="inlineStr">
        <is>
          <t>Headspace</t>
        </is>
      </c>
      <c r="B8" s="10" t="inlineStr">
        <is>
          <t>Wellness</t>
        </is>
      </c>
      <c r="C8" s="11" t="n">
        <v>12.99</v>
      </c>
      <c r="D8" s="11">
        <f>C8*12</f>
        <v/>
      </c>
      <c r="E8" s="10" t="inlineStr">
        <is>
          <t>Active</t>
        </is>
      </c>
      <c r="F8" s="16" t="inlineStr">
        <is>
          <t>Keep</t>
        </is>
      </c>
      <c r="G8" s="10" t="inlineStr">
        <is>
          <t>Daily</t>
        </is>
      </c>
      <c r="H8" s="10" t="inlineStr">
        <is>
          <t>Morning routine</t>
        </is>
      </c>
    </row>
    <row r="9">
      <c r="A9" s="13" t="inlineStr">
        <is>
          <t>iCloud Storage</t>
        </is>
      </c>
      <c r="B9" s="13" t="inlineStr">
        <is>
          <t>Tech</t>
        </is>
      </c>
      <c r="C9" s="14" t="n">
        <v>2.99</v>
      </c>
      <c r="D9" s="14">
        <f>C9*12</f>
        <v/>
      </c>
      <c r="E9" s="13" t="inlineStr">
        <is>
          <t>Active</t>
        </is>
      </c>
      <c r="F9" s="15" t="inlineStr">
        <is>
          <t>Keep</t>
        </is>
      </c>
      <c r="G9" s="13" t="inlineStr">
        <is>
          <t>Always</t>
        </is>
      </c>
      <c r="H9" s="13" t="inlineStr">
        <is>
          <t>Photo backup</t>
        </is>
      </c>
    </row>
    <row r="10">
      <c r="A10" s="10" t="inlineStr">
        <is>
          <t>YouTube Premium</t>
        </is>
      </c>
      <c r="B10" s="10" t="inlineStr">
        <is>
          <t>Entertainment</t>
        </is>
      </c>
      <c r="C10" s="11" t="n">
        <v>13.99</v>
      </c>
      <c r="D10" s="11">
        <f>C10*12</f>
        <v/>
      </c>
      <c r="E10" s="10" t="inlineStr">
        <is>
          <t>Active</t>
        </is>
      </c>
      <c r="F10" s="19" t="inlineStr">
        <is>
          <t>Cancel</t>
        </is>
      </c>
      <c r="G10" s="10" t="inlineStr">
        <is>
          <t>Sometimes</t>
        </is>
      </c>
      <c r="H10" s="10" t="inlineStr">
        <is>
          <t>Ads aren't that bad</t>
        </is>
      </c>
    </row>
    <row r="11">
      <c r="A11" s="13" t="inlineStr">
        <is>
          <t>DoorDash DashPass</t>
        </is>
      </c>
      <c r="B11" s="13" t="inlineStr">
        <is>
          <t>Food</t>
        </is>
      </c>
      <c r="C11" s="14" t="n">
        <v>9.99</v>
      </c>
      <c r="D11" s="14">
        <f>C11*12</f>
        <v/>
      </c>
      <c r="E11" s="13" t="inlineStr">
        <is>
          <t>Active</t>
        </is>
      </c>
      <c r="F11" s="17" t="inlineStr">
        <is>
          <t>Cancel</t>
        </is>
      </c>
      <c r="G11" s="13" t="inlineStr">
        <is>
          <t>Weekly</t>
        </is>
      </c>
      <c r="H11" s="13" t="inlineStr">
        <is>
          <t>Enables impulse orders</t>
        </is>
      </c>
    </row>
    <row r="12">
      <c r="A12" s="10" t="inlineStr">
        <is>
          <t>Audible</t>
        </is>
      </c>
      <c r="B12" s="10" t="inlineStr">
        <is>
          <t>Entertainment</t>
        </is>
      </c>
      <c r="C12" s="11" t="n">
        <v>14.95</v>
      </c>
      <c r="D12" s="11">
        <f>C12*12</f>
        <v/>
      </c>
      <c r="E12" s="10" t="inlineStr">
        <is>
          <t>Active</t>
        </is>
      </c>
      <c r="F12" s="20" t="inlineStr">
        <is>
          <t>Pause</t>
        </is>
      </c>
      <c r="G12" s="10" t="inlineStr">
        <is>
          <t>Monthly</t>
        </is>
      </c>
      <c r="H12" s="10" t="inlineStr">
        <is>
          <t>6 unused credits</t>
        </is>
      </c>
    </row>
    <row r="14">
      <c r="B14" s="21" t="inlineStr">
        <is>
          <t>TOTAL</t>
        </is>
      </c>
      <c r="C14" s="22">
        <f>SUM(C2:C12)</f>
        <v/>
      </c>
      <c r="D14" s="22">
        <f>SUM(D2:D12)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0" customWidth="1" min="5" max="5"/>
    <col width="14" customWidth="1" min="6" max="6"/>
    <col width="26" customWidth="1" min="7" max="7"/>
  </cols>
  <sheetData>
    <row r="1" ht="24" customHeight="1">
      <c r="A1" s="9" t="inlineStr">
        <is>
          <t>Date</t>
        </is>
      </c>
      <c r="B1" s="9" t="inlineStr">
        <is>
          <t>Item</t>
        </is>
      </c>
      <c r="C1" s="9" t="inlineStr">
        <is>
          <t>Category</t>
        </is>
      </c>
      <c r="D1" s="9" t="inlineStr">
        <is>
          <t>Amount</t>
        </is>
      </c>
      <c r="E1" s="9" t="inlineStr">
        <is>
          <t>Essential?</t>
        </is>
      </c>
      <c r="F1" s="9" t="inlineStr">
        <is>
          <t>Pattern</t>
        </is>
      </c>
      <c r="G1" s="9" t="inlineStr">
        <is>
          <t>Notes</t>
        </is>
      </c>
    </row>
    <row r="2">
      <c r="A2" s="23" t="n">
        <v>45660</v>
      </c>
      <c r="B2" s="10" t="inlineStr">
        <is>
          <t>Winter coat</t>
        </is>
      </c>
      <c r="C2" s="10" t="inlineStr">
        <is>
          <t>Clothing</t>
        </is>
      </c>
      <c r="D2" s="11" t="n">
        <v>89.98999999999999</v>
      </c>
      <c r="E2" s="10" t="inlineStr">
        <is>
          <t>Yes</t>
        </is>
      </c>
      <c r="F2" s="10" t="inlineStr"/>
      <c r="G2" s="10" t="inlineStr">
        <is>
          <t>Old one ripped</t>
        </is>
      </c>
    </row>
    <row r="3">
      <c r="A3" s="24" t="n">
        <v>45662</v>
      </c>
      <c r="B3" s="13" t="inlineStr">
        <is>
          <t>Starbucks x3</t>
        </is>
      </c>
      <c r="C3" s="13" t="inlineStr">
        <is>
          <t>Food</t>
        </is>
      </c>
      <c r="D3" s="14" t="n">
        <v>18.75</v>
      </c>
      <c r="E3" s="13" t="inlineStr">
        <is>
          <t>No</t>
        </is>
      </c>
      <c r="F3" s="25" t="inlineStr">
        <is>
          <t>Sunshine</t>
        </is>
      </c>
      <c r="G3" s="13" t="inlineStr">
        <is>
          <t>Treating myself</t>
        </is>
      </c>
    </row>
    <row r="4">
      <c r="A4" s="23" t="n">
        <v>45665</v>
      </c>
      <c r="B4" s="10" t="inlineStr">
        <is>
          <t>Target run extras</t>
        </is>
      </c>
      <c r="C4" s="10" t="inlineStr">
        <is>
          <t>Shopping</t>
        </is>
      </c>
      <c r="D4" s="11" t="n">
        <v>67.5</v>
      </c>
      <c r="E4" s="10" t="inlineStr">
        <is>
          <t>No</t>
        </is>
      </c>
      <c r="F4" s="26" t="inlineStr">
        <is>
          <t>Ambrosia</t>
        </is>
      </c>
      <c r="G4" s="10" t="inlineStr">
        <is>
          <t>Went for toothpaste</t>
        </is>
      </c>
    </row>
    <row r="5">
      <c r="A5" s="24" t="n">
        <v>45669</v>
      </c>
      <c r="B5" s="13" t="inlineStr">
        <is>
          <t>Instagram ad leggings</t>
        </is>
      </c>
      <c r="C5" s="13" t="inlineStr">
        <is>
          <t>Clothing</t>
        </is>
      </c>
      <c r="D5" s="14" t="n">
        <v>48</v>
      </c>
      <c r="E5" s="13" t="inlineStr">
        <is>
          <t>No</t>
        </is>
      </c>
      <c r="F5" s="25" t="inlineStr">
        <is>
          <t>Rainbows</t>
        </is>
      </c>
      <c r="G5" s="13" t="inlineStr">
        <is>
          <t>Algorithm got me</t>
        </is>
      </c>
    </row>
    <row r="6">
      <c r="A6" s="23" t="n">
        <v>45672</v>
      </c>
      <c r="B6" s="10" t="inlineStr">
        <is>
          <t>New planner</t>
        </is>
      </c>
      <c r="C6" s="10" t="inlineStr">
        <is>
          <t>Supplies</t>
        </is>
      </c>
      <c r="D6" s="11" t="n">
        <v>32</v>
      </c>
      <c r="E6" s="10" t="inlineStr">
        <is>
          <t>No</t>
        </is>
      </c>
      <c r="F6" s="26" t="inlineStr">
        <is>
          <t>Ambrosia</t>
        </is>
      </c>
      <c r="G6" s="10" t="inlineStr">
        <is>
          <t>Fresh start energy</t>
        </is>
      </c>
    </row>
    <row r="7">
      <c r="A7" s="24" t="n">
        <v>45675</v>
      </c>
      <c r="B7" s="13" t="inlineStr">
        <is>
          <t>Takeout comfort food</t>
        </is>
      </c>
      <c r="C7" s="13" t="inlineStr">
        <is>
          <t>Food</t>
        </is>
      </c>
      <c r="D7" s="14" t="n">
        <v>42</v>
      </c>
      <c r="E7" s="13" t="inlineStr">
        <is>
          <t>No</t>
        </is>
      </c>
      <c r="F7" s="25" t="inlineStr">
        <is>
          <t>Ambrosia</t>
        </is>
      </c>
      <c r="G7" s="13" t="inlineStr">
        <is>
          <t>Bad day</t>
        </is>
      </c>
    </row>
    <row r="8">
      <c r="A8" s="23" t="n">
        <v>45679</v>
      </c>
      <c r="B8" s="10" t="inlineStr">
        <is>
          <t>Skincare from TikTok</t>
        </is>
      </c>
      <c r="C8" s="10" t="inlineStr">
        <is>
          <t>Beauty</t>
        </is>
      </c>
      <c r="D8" s="11" t="n">
        <v>65</v>
      </c>
      <c r="E8" s="10" t="inlineStr">
        <is>
          <t>No</t>
        </is>
      </c>
      <c r="F8" s="26" t="inlineStr">
        <is>
          <t>Stardust</t>
        </is>
      </c>
      <c r="G8" s="10" t="inlineStr">
        <is>
          <t>Influencer rec</t>
        </is>
      </c>
    </row>
    <row r="10">
      <c r="C10" s="21" t="inlineStr">
        <is>
          <t>TOTAL</t>
        </is>
      </c>
      <c r="D10" s="22">
        <f>SUM(D2:D8)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9" t="inlineStr">
        <is>
          <t>Category</t>
        </is>
      </c>
      <c r="B1" s="9" t="inlineStr">
        <is>
          <t>Subscriptions</t>
        </is>
      </c>
      <c r="C1" s="9" t="inlineStr">
        <is>
          <t>One-Time</t>
        </is>
      </c>
      <c r="D1" s="9" t="inlineStr">
        <is>
          <t>Total</t>
        </is>
      </c>
      <c r="E1" s="9" t="inlineStr">
        <is>
          <t>% of Total</t>
        </is>
      </c>
    </row>
    <row r="2">
      <c r="A2" s="10" t="inlineStr">
        <is>
          <t>Entertainment</t>
        </is>
      </c>
      <c r="B2" s="11">
        <f>SUMIF(Subscriptions!B:B,"Entertainment",Subscriptions!C:C)</f>
        <v/>
      </c>
      <c r="C2" s="11">
        <f>SUMIF('One-Time Purchases'!C:C,"Entertainment",'One-Time Purchases'!D:D)</f>
        <v/>
      </c>
      <c r="D2" s="11">
        <f>B2+C2</f>
        <v/>
      </c>
      <c r="E2" s="27">
        <f>IF(D$12=0,0,D2/D$12)</f>
        <v/>
      </c>
    </row>
    <row r="3">
      <c r="A3" s="13" t="inlineStr">
        <is>
          <t>Food</t>
        </is>
      </c>
      <c r="B3" s="14">
        <f>SUMIF(Subscriptions!B:B,"Food",Subscriptions!C:C)</f>
        <v/>
      </c>
      <c r="C3" s="14">
        <f>SUMIF('One-Time Purchases'!C:C,"Food",'One-Time Purchases'!D:D)</f>
        <v/>
      </c>
      <c r="D3" s="14">
        <f>B3+C3</f>
        <v/>
      </c>
      <c r="E3" s="28">
        <f>IF(D$12=0,0,D3/D$12)</f>
        <v/>
      </c>
    </row>
    <row r="4">
      <c r="A4" s="10" t="inlineStr">
        <is>
          <t>Health</t>
        </is>
      </c>
      <c r="B4" s="11">
        <f>SUMIF(Subscriptions!B:B,"Health",Subscriptions!C:C)</f>
        <v/>
      </c>
      <c r="C4" s="11">
        <f>SUMIF('One-Time Purchases'!C:C,"Health",'One-Time Purchases'!D:D)</f>
        <v/>
      </c>
      <c r="D4" s="11">
        <f>B4+C4</f>
        <v/>
      </c>
      <c r="E4" s="27">
        <f>IF(D$12=0,0,D4/D$12)</f>
        <v/>
      </c>
    </row>
    <row r="5">
      <c r="A5" s="13" t="inlineStr">
        <is>
          <t>Wellness</t>
        </is>
      </c>
      <c r="B5" s="14">
        <f>SUMIF(Subscriptions!B:B,"Wellness",Subscriptions!C:C)</f>
        <v/>
      </c>
      <c r="C5" s="14">
        <f>SUMIF('One-Time Purchases'!C:C,"Wellness",'One-Time Purchases'!D:D)</f>
        <v/>
      </c>
      <c r="D5" s="14">
        <f>B5+C5</f>
        <v/>
      </c>
      <c r="E5" s="28">
        <f>IF(D$12=0,0,D5/D$12)</f>
        <v/>
      </c>
    </row>
    <row r="6">
      <c r="A6" s="10" t="inlineStr">
        <is>
          <t>Shopping</t>
        </is>
      </c>
      <c r="B6" s="11">
        <f>SUMIF(Subscriptions!B:B,"Shopping",Subscriptions!C:C)</f>
        <v/>
      </c>
      <c r="C6" s="11">
        <f>SUMIF('One-Time Purchases'!C:C,"Shopping",'One-Time Purchases'!D:D)</f>
        <v/>
      </c>
      <c r="D6" s="11">
        <f>B6+C6</f>
        <v/>
      </c>
      <c r="E6" s="27">
        <f>IF(D$12=0,0,D6/D$12)</f>
        <v/>
      </c>
    </row>
    <row r="7">
      <c r="A7" s="13" t="inlineStr">
        <is>
          <t>Tech</t>
        </is>
      </c>
      <c r="B7" s="14">
        <f>SUMIF(Subscriptions!B:B,"Tech",Subscriptions!C:C)</f>
        <v/>
      </c>
      <c r="C7" s="14">
        <f>SUMIF('One-Time Purchases'!C:C,"Tech",'One-Time Purchases'!D:D)</f>
        <v/>
      </c>
      <c r="D7" s="14">
        <f>B7+C7</f>
        <v/>
      </c>
      <c r="E7" s="28">
        <f>IF(D$12=0,0,D7/D$12)</f>
        <v/>
      </c>
    </row>
    <row r="8">
      <c r="A8" s="10" t="inlineStr">
        <is>
          <t>Clothing</t>
        </is>
      </c>
      <c r="B8" s="11">
        <f>SUMIF(Subscriptions!B:B,"Clothing",Subscriptions!C:C)</f>
        <v/>
      </c>
      <c r="C8" s="11">
        <f>SUMIF('One-Time Purchases'!C:C,"Clothing",'One-Time Purchases'!D:D)</f>
        <v/>
      </c>
      <c r="D8" s="11">
        <f>B8+C8</f>
        <v/>
      </c>
      <c r="E8" s="27">
        <f>IF(D$12=0,0,D8/D$12)</f>
        <v/>
      </c>
    </row>
    <row r="9">
      <c r="A9" s="13" t="inlineStr">
        <is>
          <t>Beauty</t>
        </is>
      </c>
      <c r="B9" s="14">
        <f>SUMIF(Subscriptions!B:B,"Beauty",Subscriptions!C:C)</f>
        <v/>
      </c>
      <c r="C9" s="14">
        <f>SUMIF('One-Time Purchases'!C:C,"Beauty",'One-Time Purchases'!D:D)</f>
        <v/>
      </c>
      <c r="D9" s="14">
        <f>B9+C9</f>
        <v/>
      </c>
      <c r="E9" s="28">
        <f>IF(D$12=0,0,D9/D$12)</f>
        <v/>
      </c>
    </row>
    <row r="10">
      <c r="A10" s="10" t="inlineStr">
        <is>
          <t>Supplies</t>
        </is>
      </c>
      <c r="B10" s="11">
        <f>SUMIF(Subscriptions!B:B,"Supplies",Subscriptions!C:C)</f>
        <v/>
      </c>
      <c r="C10" s="11">
        <f>SUMIF('One-Time Purchases'!C:C,"Supplies",'One-Time Purchases'!D:D)</f>
        <v/>
      </c>
      <c r="D10" s="11">
        <f>B10+C10</f>
        <v/>
      </c>
      <c r="E10" s="27">
        <f>IF(D$12=0,0,D10/D$12)</f>
        <v/>
      </c>
    </row>
    <row r="12">
      <c r="A12" s="21" t="inlineStr">
        <is>
          <t>TOTAL</t>
        </is>
      </c>
      <c r="B12" s="29">
        <f>SUM(B2:B10)</f>
        <v/>
      </c>
      <c r="C12" s="29">
        <f>SUM(C2:C10)</f>
        <v/>
      </c>
      <c r="D12" s="29">
        <f>SUM(D2:D10)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 ht="24" customHeight="1">
      <c r="A1" s="9" t="inlineStr">
        <is>
          <t>Month</t>
        </is>
      </c>
      <c r="B1" s="9" t="inlineStr">
        <is>
          <t>Income</t>
        </is>
      </c>
      <c r="C1" s="9" t="inlineStr">
        <is>
          <t>Essential</t>
        </is>
      </c>
      <c r="D1" s="9" t="inlineStr">
        <is>
          <t>Non-Essential</t>
        </is>
      </c>
      <c r="E1" s="9" t="inlineStr">
        <is>
          <t>Net</t>
        </is>
      </c>
      <c r="F1" s="9" t="inlineStr">
        <is>
          <t>Savings Rate</t>
        </is>
      </c>
    </row>
    <row r="2">
      <c r="A2" s="10" t="inlineStr">
        <is>
          <t>Jan 2025</t>
        </is>
      </c>
      <c r="B2" s="30" t="n">
        <v>4200</v>
      </c>
      <c r="C2" s="30" t="n">
        <v>2800</v>
      </c>
      <c r="D2" s="30" t="n">
        <v>685</v>
      </c>
      <c r="E2" s="30">
        <f>B2-C2-D2</f>
        <v/>
      </c>
      <c r="F2" s="31">
        <f>IF(B2=0,0,E2/B2)</f>
        <v/>
      </c>
    </row>
    <row r="3">
      <c r="A3" s="13" t="inlineStr">
        <is>
          <t>Feb 2025</t>
        </is>
      </c>
      <c r="B3" s="32" t="n">
        <v>4200</v>
      </c>
      <c r="C3" s="32" t="n">
        <v>2750</v>
      </c>
      <c r="D3" s="32" t="n">
        <v>420</v>
      </c>
      <c r="E3" s="32">
        <f>B3-C3-D3</f>
        <v/>
      </c>
      <c r="F3" s="33">
        <f>IF(B3=0,0,E3/B3)</f>
        <v/>
      </c>
    </row>
    <row r="4">
      <c r="A4" s="10" t="inlineStr">
        <is>
          <t>Mar 2025</t>
        </is>
      </c>
      <c r="B4" s="30" t="n">
        <v>4350</v>
      </c>
      <c r="C4" s="30" t="n">
        <v>2800</v>
      </c>
      <c r="D4" s="30" t="n">
        <v>310</v>
      </c>
      <c r="E4" s="30">
        <f>B4-C4-D4</f>
        <v/>
      </c>
      <c r="F4" s="31">
        <f>IF(B4=0,0,E4/B4)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 ht="24" customHeight="1">
      <c r="A1" s="9" t="inlineStr">
        <is>
          <t>Week</t>
        </is>
      </c>
      <c r="B1" s="9" t="inlineStr">
        <is>
          <t>Start</t>
        </is>
      </c>
      <c r="C1" s="9" t="inlineStr">
        <is>
          <t>End</t>
        </is>
      </c>
      <c r="D1" s="9" t="inlineStr">
        <is>
          <t>Income</t>
        </is>
      </c>
      <c r="E1" s="9" t="inlineStr">
        <is>
          <t>Expenses</t>
        </is>
      </c>
      <c r="F1" s="9" t="inlineStr">
        <is>
          <t>Net</t>
        </is>
      </c>
      <c r="G1" s="9" t="inlineStr">
        <is>
          <t>No-Spend Days</t>
        </is>
      </c>
    </row>
    <row r="2">
      <c r="A2" s="10" t="inlineStr">
        <is>
          <t>Week 1</t>
        </is>
      </c>
      <c r="B2" s="34" t="n">
        <v>45658</v>
      </c>
      <c r="C2" s="34" t="n">
        <v>45664</v>
      </c>
      <c r="D2" s="30" t="n">
        <v>1050</v>
      </c>
      <c r="E2" s="30" t="n">
        <v>780</v>
      </c>
      <c r="F2" s="30">
        <f>D2-E2</f>
        <v/>
      </c>
      <c r="G2" s="16" t="n">
        <v>3</v>
      </c>
    </row>
    <row r="3">
      <c r="A3" s="13" t="inlineStr">
        <is>
          <t>Week 2</t>
        </is>
      </c>
      <c r="B3" s="35" t="n">
        <v>45665</v>
      </c>
      <c r="C3" s="35" t="n">
        <v>45671</v>
      </c>
      <c r="D3" s="32" t="n">
        <v>1050</v>
      </c>
      <c r="E3" s="32" t="n">
        <v>620</v>
      </c>
      <c r="F3" s="32">
        <f>D3-E3</f>
        <v/>
      </c>
      <c r="G3" s="15" t="n">
        <v>4</v>
      </c>
    </row>
    <row r="4">
      <c r="A4" s="10" t="inlineStr">
        <is>
          <t>Week 3</t>
        </is>
      </c>
      <c r="B4" s="34" t="n">
        <v>45672</v>
      </c>
      <c r="C4" s="34" t="n">
        <v>45678</v>
      </c>
      <c r="D4" s="30" t="n">
        <v>1050</v>
      </c>
      <c r="E4" s="30" t="n">
        <v>540</v>
      </c>
      <c r="F4" s="30">
        <f>D4-E4</f>
        <v/>
      </c>
      <c r="G4" s="16" t="n">
        <v>5</v>
      </c>
    </row>
    <row r="5">
      <c r="A5" s="13" t="inlineStr">
        <is>
          <t>Week 4</t>
        </is>
      </c>
      <c r="B5" s="35" t="n">
        <v>45679</v>
      </c>
      <c r="C5" s="35" t="n">
        <v>45685</v>
      </c>
      <c r="D5" s="32" t="n">
        <v>1050</v>
      </c>
      <c r="E5" s="32" t="n">
        <v>485</v>
      </c>
      <c r="F5" s="32">
        <f>D5-E5</f>
        <v/>
      </c>
      <c r="G5" s="15" t="n">
        <v>5</v>
      </c>
    </row>
    <row r="7">
      <c r="F7" s="4" t="inlineStr">
        <is>
          <t>Total No-Spend:</t>
        </is>
      </c>
      <c r="G7" s="36">
        <f>SUM(G2:G5)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 ht="24" customHeight="1">
      <c r="A1" s="9" t="inlineStr">
        <is>
          <t>Metric</t>
        </is>
      </c>
      <c r="B1" s="9" t="inlineStr">
        <is>
          <t>Before</t>
        </is>
      </c>
      <c r="C1" s="9" t="inlineStr">
        <is>
          <t>After</t>
        </is>
      </c>
      <c r="D1" s="9" t="inlineStr">
        <is>
          <t>Change</t>
        </is>
      </c>
      <c r="E1" s="9" t="inlineStr">
        <is>
          <t>% Change</t>
        </is>
      </c>
    </row>
    <row r="2">
      <c r="A2" s="10" t="inlineStr">
        <is>
          <t>Monthly Subscriptions</t>
        </is>
      </c>
      <c r="B2" s="11" t="n">
        <v>209.34</v>
      </c>
      <c r="C2" s="11" t="n">
        <v>147.43</v>
      </c>
      <c r="D2" s="11">
        <f>C2-B2</f>
        <v/>
      </c>
      <c r="E2" s="37">
        <f>IF(B2=0,0,(C2-B2)/B2)</f>
        <v/>
      </c>
    </row>
    <row r="3">
      <c r="A3" s="13" t="inlineStr">
        <is>
          <t>Active Subscriptions</t>
        </is>
      </c>
      <c r="B3" s="13" t="n">
        <v>11</v>
      </c>
      <c r="C3" s="13" t="n">
        <v>7</v>
      </c>
      <c r="D3" s="13">
        <f>C3-B3</f>
        <v/>
      </c>
      <c r="E3" s="38">
        <f>IF(B3=0,0,(C3-B3)/B3)</f>
        <v/>
      </c>
    </row>
    <row r="4">
      <c r="A4" s="10" t="inlineStr">
        <is>
          <t>Weekly Non-Essential Avg</t>
        </is>
      </c>
      <c r="B4" s="30" t="n">
        <v>165</v>
      </c>
      <c r="C4" s="30" t="n">
        <v>85</v>
      </c>
      <c r="D4" s="30">
        <f>C4-B4</f>
        <v/>
      </c>
      <c r="E4" s="37">
        <f>IF(B4=0,0,(C4-B4)/B4)</f>
        <v/>
      </c>
    </row>
    <row r="5">
      <c r="A5" s="13" t="inlineStr">
        <is>
          <t>Monthly Savings Rate</t>
        </is>
      </c>
      <c r="B5" s="39" t="n">
        <v>0.12</v>
      </c>
      <c r="C5" s="39" t="n">
        <v>0.24</v>
      </c>
      <c r="D5" s="13">
        <f>C5-B5</f>
        <v/>
      </c>
      <c r="E5" s="38">
        <f>IF(B5=0,0,(C5-B5)/B5)</f>
        <v/>
      </c>
    </row>
    <row r="6">
      <c r="A6" s="10" t="inlineStr">
        <is>
          <t>No-Spend Days/Month</t>
        </is>
      </c>
      <c r="B6" s="10" t="n">
        <v>6</v>
      </c>
      <c r="C6" s="10" t="n">
        <v>17</v>
      </c>
      <c r="D6" s="10">
        <f>C6-B6</f>
        <v/>
      </c>
      <c r="E6" s="37">
        <f>IF(B6=0,0,(C6-B6)/B6)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4" customWidth="1" min="4" max="4"/>
  </cols>
  <sheetData>
    <row r="1" ht="24" customHeight="1">
      <c r="A1" s="9" t="inlineStr">
        <is>
          <t>Cancelled/Paused</t>
        </is>
      </c>
      <c r="B1" s="9" t="inlineStr">
        <is>
          <t>Monthly $</t>
        </is>
      </c>
      <c r="C1" s="9" t="inlineStr">
        <is>
          <t>New Allocation</t>
        </is>
      </c>
      <c r="D1" s="9" t="inlineStr">
        <is>
          <t>Purpose</t>
        </is>
      </c>
    </row>
    <row r="2">
      <c r="A2" s="10" t="inlineStr">
        <is>
          <t>Hulu</t>
        </is>
      </c>
      <c r="B2" s="40" t="n">
        <v>17.99</v>
      </c>
      <c r="C2" s="10" t="inlineStr">
        <is>
          <t>Emergency Fund</t>
        </is>
      </c>
      <c r="D2" s="10" t="inlineStr">
        <is>
          <t>Building 3mo buffer</t>
        </is>
      </c>
    </row>
    <row r="3">
      <c r="A3" s="13" t="inlineStr">
        <is>
          <t>HelloFresh</t>
        </is>
      </c>
      <c r="B3" s="41" t="n">
        <v>69.98999999999999</v>
      </c>
      <c r="C3" s="13" t="inlineStr">
        <is>
          <t>Debt Payoff</t>
        </is>
      </c>
      <c r="D3" s="13" t="inlineStr">
        <is>
          <t>Credit card</t>
        </is>
      </c>
    </row>
    <row r="4">
      <c r="A4" s="10" t="inlineStr">
        <is>
          <t>YouTube Premium</t>
        </is>
      </c>
      <c r="B4" s="40" t="n">
        <v>13.99</v>
      </c>
      <c r="C4" s="10" t="inlineStr">
        <is>
          <t>Savings</t>
        </is>
      </c>
      <c r="D4" s="10" t="inlineStr">
        <is>
          <t>Vacation fund</t>
        </is>
      </c>
    </row>
    <row r="5">
      <c r="A5" s="13" t="inlineStr">
        <is>
          <t>DoorDash DashPass</t>
        </is>
      </c>
      <c r="B5" s="41" t="n">
        <v>9.99</v>
      </c>
      <c r="C5" s="13" t="inlineStr">
        <is>
          <t>Savings</t>
        </is>
      </c>
      <c r="D5" s="13" t="inlineStr">
        <is>
          <t>Future me fund</t>
        </is>
      </c>
    </row>
    <row r="6">
      <c r="A6" s="10" t="inlineStr">
        <is>
          <t>Audible</t>
        </is>
      </c>
      <c r="B6" s="40" t="n">
        <v>14.95</v>
      </c>
      <c r="C6" s="10" t="inlineStr">
        <is>
          <t>Debt Payoff</t>
        </is>
      </c>
      <c r="D6" s="10" t="inlineStr">
        <is>
          <t>Student loan extra</t>
        </is>
      </c>
    </row>
    <row r="8">
      <c r="A8" s="21" t="inlineStr">
        <is>
          <t>TOTAL FREED</t>
        </is>
      </c>
      <c r="B8" s="42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2025-12-28T03:08:43Z</dcterms:created>
  <dcterms:modified xmlns:dcterms="http://purl.org/dc/terms/" xmlns:xsi="http://www.w3.org/2001/XMLSchema-instance" xsi:type="dcterms:W3CDTF">2025-12-28T03:08:43Z</dcterms:modified>
</cp:coreProperties>
</file>